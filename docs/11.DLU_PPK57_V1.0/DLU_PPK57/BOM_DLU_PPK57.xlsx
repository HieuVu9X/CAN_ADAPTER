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HT\He thong Phao PPK57mm\HARDWARE\DLU\DLU\"/>
    </mc:Choice>
  </mc:AlternateContent>
  <xr:revisionPtr revIDLastSave="0" documentId="13_ncr:1_{7F5DAC86-D264-4967-B3D9-00C4DAAD040F}" xr6:coauthVersionLast="47" xr6:coauthVersionMax="47" xr10:uidLastSave="{00000000-0000-0000-0000-000000000000}"/>
  <bookViews>
    <workbookView xWindow="-108" yWindow="-108" windowWidth="23256" windowHeight="12576" xr2:uid="{18F234E0-7262-43C7-A8F0-A2828773A5D6}"/>
  </bookViews>
  <sheets>
    <sheet name="BOM_DLU_PPK57" sheetId="1" r:id="rId1"/>
  </sheets>
  <definedNames>
    <definedName name="_xlnm._FilterDatabase" localSheetId="0" hidden="1">BOM_DLU_PPK57!$B$1:$J$1</definedName>
    <definedName name="_xlnm.Print_Titles" localSheetId="0">BOM_DLU_PPK57!$1:$1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9" i="1" l="1"/>
  <c r="J58" i="1"/>
</calcChain>
</file>

<file path=xl/sharedStrings.xml><?xml version="1.0" encoding="utf-8"?>
<sst xmlns="http://schemas.openxmlformats.org/spreadsheetml/2006/main" count="377" uniqueCount="294">
  <si>
    <t>Designator</t>
  </si>
  <si>
    <t>Manufacturer_Part_Number</t>
  </si>
  <si>
    <t>Manufacturer</t>
  </si>
  <si>
    <t>Description</t>
  </si>
  <si>
    <t>Comment</t>
  </si>
  <si>
    <t>Footprint</t>
  </si>
  <si>
    <t>Quantity</t>
  </si>
  <si>
    <t>C1</t>
  </si>
  <si>
    <t>CC0603KRX7R9BB105</t>
  </si>
  <si>
    <t>KEMET</t>
  </si>
  <si>
    <t>Multilayer Ceramic Capacitors MLCC - SMD/SMT 50 V 1uF X7R 0603 10%</t>
  </si>
  <si>
    <t>C0603_105_50V</t>
  </si>
  <si>
    <t>C0603</t>
  </si>
  <si>
    <t>C2</t>
  </si>
  <si>
    <t>EEH-ZK1V101XP</t>
  </si>
  <si>
    <t>Panasonic</t>
  </si>
  <si>
    <t>Capacitor Polarised</t>
  </si>
  <si>
    <t>100uF</t>
  </si>
  <si>
    <t>CAP_ALUM_6_5x6_5</t>
  </si>
  <si>
    <t>C3, C5, C7, C33</t>
  </si>
  <si>
    <t>CC0603KRX7R9BB103</t>
  </si>
  <si>
    <t>Multilayer Ceramic Capacitors MLCC - SMD/SMT 50V 0.01uF X7R 0603 10%</t>
  </si>
  <si>
    <t>C0603_103_50V</t>
  </si>
  <si>
    <t>C4</t>
  </si>
  <si>
    <t>A768MS337M1VLAS022</t>
  </si>
  <si>
    <t>Aluminum Organic Polymer Capacitors 35Vol 330uF SMD 2KHr ESR=22 mOhms AECQ200</t>
  </si>
  <si>
    <t>330uF</t>
  </si>
  <si>
    <t>CAP_ALUM_10X10</t>
  </si>
  <si>
    <t>C6</t>
  </si>
  <si>
    <t>APXJ6R3ARA561MF80G</t>
  </si>
  <si>
    <t>United Chemi-Con</t>
  </si>
  <si>
    <t>560 µF 6.3 V Aluminum - Polymer Capacitors Radial, Can - SMD 8mOhm 15000 Hrs @ 105°C</t>
  </si>
  <si>
    <t>CAP_ALU6.3_560uF_6.3V</t>
  </si>
  <si>
    <t>C8, C9</t>
  </si>
  <si>
    <t>TPME227K016R0025</t>
  </si>
  <si>
    <t>KYOCERA AVX</t>
  </si>
  <si>
    <t>220 µF Molded Tantalum Capacitors 16 V 2917 (7343 Metric) 25mOhm</t>
  </si>
  <si>
    <t>CAP_TAN_7343_220uF_16V</t>
  </si>
  <si>
    <t>CAP_TAN_7343</t>
  </si>
  <si>
    <t>C10, C11, C12, C13, C14, C15, C20, C23, C24, C26, C28, C29, C30, C31, C32, C34, C35, C36, C37, C38, C39, C40, C41, C42, C43, C44, C45</t>
  </si>
  <si>
    <t>GRM188R6YA106MA73J</t>
  </si>
  <si>
    <t>Murata Electronics</t>
  </si>
  <si>
    <t>Multilayer Ceramic Capacitors MLCC - SMD/SMT 10 uF 35 VDC 20% 0603 X5R</t>
  </si>
  <si>
    <t>C0603_106_35V</t>
  </si>
  <si>
    <t>C16, C17, C18</t>
  </si>
  <si>
    <t>06035A150JAT2A</t>
  </si>
  <si>
    <t>AVX</t>
  </si>
  <si>
    <t>Multilayer Ceramic Capacitors MLCC - SMD/SMT NEW GLOBAL PN KGM15ACG1H150JT 50V 15pF C0G 0603 5%</t>
  </si>
  <si>
    <t>15pF</t>
  </si>
  <si>
    <t>C19, C21</t>
  </si>
  <si>
    <t>CC0603JRNPO9BN220</t>
  </si>
  <si>
    <t>Multilayer Ceramic Capacitors MLCC - SMD/SMT 50 V 22 pF C0G 0603 5%</t>
  </si>
  <si>
    <t>C0603_22p_50V</t>
  </si>
  <si>
    <t>C22</t>
  </si>
  <si>
    <t>GRM188D71A106KA73D</t>
  </si>
  <si>
    <t>Multilayer Ceramic Capacitors MLCC - SMD/SMT 10 uF 10 VDC 10% 0603 X7T</t>
  </si>
  <si>
    <t>C0603_106_10V</t>
  </si>
  <si>
    <t>C25, C27</t>
  </si>
  <si>
    <t>CC0603JRNPO9BN330</t>
  </si>
  <si>
    <t>Multilayer Ceramic Capacitors MLCC - SMD/SMT 50 V 33 pF C0G 0603 5%</t>
  </si>
  <si>
    <t>C0603_33p_50V</t>
  </si>
  <si>
    <t>D1, D2, D3, D11, D22</t>
  </si>
  <si>
    <t>PMEG40T30ERX</t>
  </si>
  <si>
    <t>Nexperia</t>
  </si>
  <si>
    <t>Schottky Diode 40V 3A</t>
  </si>
  <si>
    <t>SOD123</t>
  </si>
  <si>
    <t>D4, D5, D6, D7, D8, D9, D10</t>
  </si>
  <si>
    <t>150060RS75000</t>
  </si>
  <si>
    <t>Wurth Elektronik</t>
  </si>
  <si>
    <t>Red 625nm LED Indication - Discrete 2V 0603 (1608 Metric)</t>
  </si>
  <si>
    <t>LED0603_Red</t>
  </si>
  <si>
    <t>LED0603</t>
  </si>
  <si>
    <t>D14, D15, D16, D18, D20, D23, D24</t>
  </si>
  <si>
    <t>Bourns Inc.</t>
  </si>
  <si>
    <t/>
  </si>
  <si>
    <t>CDSOT23-SM712</t>
  </si>
  <si>
    <t>SOT-23</t>
  </si>
  <si>
    <t>F1</t>
  </si>
  <si>
    <t>045201.5MRL</t>
  </si>
  <si>
    <t>LITTELFUSE</t>
  </si>
  <si>
    <t>Fuse</t>
  </si>
  <si>
    <t>F2</t>
  </si>
  <si>
    <t>01550900M</t>
  </si>
  <si>
    <t>Fuse holder</t>
  </si>
  <si>
    <t>FUSE_HOLDER_SMD</t>
  </si>
  <si>
    <t>FB1, FB2, FB3, FB5</t>
  </si>
  <si>
    <t>MI0805J102R-10</t>
  </si>
  <si>
    <t>Laird-Signal Integrity Products</t>
  </si>
  <si>
    <t>FERRIT_0805_1A</t>
  </si>
  <si>
    <t>FB0805</t>
  </si>
  <si>
    <t>FB4</t>
  </si>
  <si>
    <t>Murata Electronics North America</t>
  </si>
  <si>
    <t>FERRIT_0603_500mA</t>
  </si>
  <si>
    <t>L0603</t>
  </si>
  <si>
    <t>FL1</t>
  </si>
  <si>
    <t>BNX026H01L</t>
  </si>
  <si>
    <t>Filter</t>
  </si>
  <si>
    <t>BNX024</t>
  </si>
  <si>
    <t>IC1</t>
  </si>
  <si>
    <t>STM32F407VGT7</t>
  </si>
  <si>
    <t>STMicroelectronics</t>
  </si>
  <si>
    <t>Integrated Circuit</t>
  </si>
  <si>
    <t>LQFP-100</t>
  </si>
  <si>
    <t>IC2</t>
  </si>
  <si>
    <t>MAX14878WAWA+</t>
  </si>
  <si>
    <t>Analog Devices</t>
  </si>
  <si>
    <t>8-SOIC-W</t>
  </si>
  <si>
    <t>IC3</t>
  </si>
  <si>
    <t>SN74LVC125APWR</t>
  </si>
  <si>
    <t>Texas Instruments</t>
  </si>
  <si>
    <t>IC4</t>
  </si>
  <si>
    <t>CR1220-H-SMD</t>
  </si>
  <si>
    <t>ROBOTIS</t>
  </si>
  <si>
    <t>CR1220HSMD</t>
  </si>
  <si>
    <t>J1, J2, J5, J6, J7, J8, J9, J11, J12</t>
  </si>
  <si>
    <t>1729128</t>
  </si>
  <si>
    <t>Phoenix Contact</t>
  </si>
  <si>
    <t>Fixed Terminal Blocks 2P 5.08mm 90DEG</t>
  </si>
  <si>
    <t>Terminal_2P_5.08mm</t>
  </si>
  <si>
    <t>J3</t>
  </si>
  <si>
    <t>22-28-4056</t>
  </si>
  <si>
    <t>Molex</t>
  </si>
  <si>
    <t>Headers &amp; Wire Housings 5CKT VERT HDR 2.54mm</t>
  </si>
  <si>
    <t>Header_5P_Male Pin</t>
  </si>
  <si>
    <t>HDRV5W66P0X254_1X5_1270X249X863P</t>
  </si>
  <si>
    <t>J4</t>
  </si>
  <si>
    <t>61300411121</t>
  </si>
  <si>
    <t>Headers &amp; Wire Housings WR-PHD 2.54mm Hdr 4P Single Str Gold</t>
  </si>
  <si>
    <t>4P</t>
  </si>
  <si>
    <t>HDRV4W95P0X254_1X4_1016X254X854P</t>
  </si>
  <si>
    <t>J13</t>
  </si>
  <si>
    <t>1734035-3</t>
  </si>
  <si>
    <t>TE Connectivity</t>
  </si>
  <si>
    <t>Connector</t>
  </si>
  <si>
    <t>17340353</t>
  </si>
  <si>
    <t>J14</t>
  </si>
  <si>
    <t>TFP09-2-12B</t>
  </si>
  <si>
    <t>100y</t>
  </si>
  <si>
    <t>TFP09212B</t>
  </si>
  <si>
    <t>J15, J16</t>
  </si>
  <si>
    <t>801-87-013-10-001101</t>
  </si>
  <si>
    <t>Preci-Dip</t>
  </si>
  <si>
    <t>WR-PHD Socket Header, THT, Vertical, pitch 2.54mm, 1 Row, 13P</t>
  </si>
  <si>
    <t>RHDR13W60P0X254_1X13_3302X254X700P</t>
  </si>
  <si>
    <t>L1</t>
  </si>
  <si>
    <t>744773047</t>
  </si>
  <si>
    <t>Würth Elektronik</t>
  </si>
  <si>
    <t>IND_4.7U_1.82A_4.5X4.0</t>
  </si>
  <si>
    <t>IND_4.5x4</t>
  </si>
  <si>
    <t>LED1, LED2, LED3</t>
  </si>
  <si>
    <t>150060BS75000</t>
  </si>
  <si>
    <t>Blue 470nm LED Indication - Discrete 3.2V 0603 (1608 Metric)</t>
  </si>
  <si>
    <t>LED0603_Blue</t>
  </si>
  <si>
    <t>P1</t>
  </si>
  <si>
    <t>HR91105A</t>
  </si>
  <si>
    <t>R1</t>
  </si>
  <si>
    <t>ERJ-3EKF2002V</t>
  </si>
  <si>
    <t>Resistor</t>
  </si>
  <si>
    <t>R0603_20k</t>
  </si>
  <si>
    <t>RES-SMD-0603</t>
  </si>
  <si>
    <t>R2, R9, R10, R12, R14, R16, R17, R24, R27, R28, R29, R30, R31, R34, R35, R37, R40, R41, R49, R51, R58, R59, R64, R65</t>
  </si>
  <si>
    <t>ERJ-3EKF1002V</t>
  </si>
  <si>
    <t>Thick Film Resistors - SMD 0603 10Kohms 1% AEC-Q200</t>
  </si>
  <si>
    <t>R0603_10k</t>
  </si>
  <si>
    <t>R3</t>
  </si>
  <si>
    <t>ERJ-3EKF1911V</t>
  </si>
  <si>
    <t>R0603_1k91</t>
  </si>
  <si>
    <t>R4, R5, R6, R7</t>
  </si>
  <si>
    <t>ERJ-3EKF4992V</t>
  </si>
  <si>
    <t>R0603_49k9</t>
  </si>
  <si>
    <t>R8, R11, R13, R15, R18, R19, R21, R22, R25, R36</t>
  </si>
  <si>
    <t>ERJ-3EKF1501V</t>
  </si>
  <si>
    <t>R0603_1k5</t>
  </si>
  <si>
    <t>R20, R23</t>
  </si>
  <si>
    <t>ERJ-3EKF4300V</t>
  </si>
  <si>
    <t>R0603_430R</t>
  </si>
  <si>
    <t>R26</t>
  </si>
  <si>
    <t>ERJ-3EKF1212V</t>
  </si>
  <si>
    <t>R0603_12k1</t>
  </si>
  <si>
    <t>R32, R33, R38, R39, R45, R46, R48, R50, R53, R55, R56, R57, R62, R63</t>
  </si>
  <si>
    <t>ERJ-3EKF7500V</t>
  </si>
  <si>
    <t>R0603_750R</t>
  </si>
  <si>
    <t>R42</t>
  </si>
  <si>
    <t>ERJ-3EKF4021V</t>
  </si>
  <si>
    <t>R43, R44, R47, R52, R54, R60, R61</t>
  </si>
  <si>
    <t>ERJ-3EKF1200V</t>
  </si>
  <si>
    <t>Thick Film Resistors - SMD 0603 120ohms 1% AEC-Q200</t>
  </si>
  <si>
    <t>R0603_120R</t>
  </si>
  <si>
    <t>R66, R67, R68, R69</t>
  </si>
  <si>
    <t>ERJ-3EKF3301V</t>
  </si>
  <si>
    <t>R0603_3k3</t>
  </si>
  <si>
    <t>SW1, SW2</t>
  </si>
  <si>
    <t>RS-282G05A3-SM RT</t>
  </si>
  <si>
    <t>C&amp;K</t>
  </si>
  <si>
    <t>BUTTON_SMD</t>
  </si>
  <si>
    <t>SW-SMD</t>
  </si>
  <si>
    <t>U1</t>
  </si>
  <si>
    <t>AP63200WU-7</t>
  </si>
  <si>
    <t>Diodes Incorporated</t>
  </si>
  <si>
    <t>Buck Switching Regulator IC Positive Adjustable 1.2V 1 Output 2A SOT-23-6 Thin, TSOT-23-6</t>
  </si>
  <si>
    <t>AP63200</t>
  </si>
  <si>
    <t>SOT-23-6</t>
  </si>
  <si>
    <t>U2, U12</t>
  </si>
  <si>
    <t>RT9193-33GB</t>
  </si>
  <si>
    <t>Richtek USA Inc.</t>
  </si>
  <si>
    <t>Linear Voltage Regulator IC Positive Fixed 1 Output 300mA SOT-23-5</t>
  </si>
  <si>
    <t>SOT-23-5</t>
  </si>
  <si>
    <t>U3</t>
  </si>
  <si>
    <t>NCP1117ST33T3G</t>
  </si>
  <si>
    <t>onsemi</t>
  </si>
  <si>
    <t>LDO Voltage Regulators 3.3V 1A Positive</t>
  </si>
  <si>
    <t>SOT230P700X180-4N</t>
  </si>
  <si>
    <t>U4</t>
  </si>
  <si>
    <t>Microchip Technology</t>
  </si>
  <si>
    <t>LAN_8720</t>
  </si>
  <si>
    <t>QFN24_V2</t>
  </si>
  <si>
    <t>U5</t>
  </si>
  <si>
    <t>B0505S-1WR3</t>
  </si>
  <si>
    <t>Mornsun America, LLC</t>
  </si>
  <si>
    <t>U6, U7, U8, U9, U10, U11</t>
  </si>
  <si>
    <t>Maxim Integrated</t>
  </si>
  <si>
    <t>MAX3485</t>
  </si>
  <si>
    <t>8-SOIC</t>
  </si>
  <si>
    <t>Y1</t>
  </si>
  <si>
    <t>F90800018Q</t>
  </si>
  <si>
    <t>CRYSTAL_8MHz_SMD</t>
  </si>
  <si>
    <t>2_SMD_5032</t>
  </si>
  <si>
    <t>Y2</t>
  </si>
  <si>
    <t>ECS Inc.</t>
  </si>
  <si>
    <t>CRYSTAL_25MHz</t>
  </si>
  <si>
    <t>XTAL_THOUGH</t>
  </si>
  <si>
    <t>Link</t>
  </si>
  <si>
    <t>https://linhkienchatluong.vn/tu-dan-0603/tu-dan-0603-105-1uf-25v-10-10c_sp1063_ct14623.aspx</t>
  </si>
  <si>
    <t>3000</t>
  </si>
  <si>
    <t>https://linhkienchatluong.vn/tu-nhom---tu-hoa-dan/tu-nhom-35v-100uf-63x77mm_sp455_ct978.aspx</t>
  </si>
  <si>
    <t>https://linhkienchatluong.vn/tu-dan-0603/tu-dan-0603-103-10nf-50v-10-10c_sp1063_ct14597.aspx</t>
  </si>
  <si>
    <t>https://linhkienchatluong.vn/tu-nhom---tu-hoa-dan/tu-nhom-50v-330uf-10x102mm_sp455_ct2883.aspx</t>
  </si>
  <si>
    <t>dùng chung 100uf</t>
  </si>
  <si>
    <t>https://linhkienchatluong.vn/tu-tantalium/tu-tantalum-7343-227c-16v-220uf-73x43mm-taje227k016rnj_sp460_ct1166.aspx</t>
  </si>
  <si>
    <t>https://linhkienchatluong.vn/tu-dan-0603/tu-dan-0603-106-10uf-10v-10c_sp1063_ct14639.aspx</t>
  </si>
  <si>
    <t>https://linhkienchatluong.vn/tu-dan-0603/tu-dan-0603-15pf-50v-5-10c_sp1063_ct14359.aspx</t>
  </si>
  <si>
    <t>https://linhkienchatluong.vn/tu-dan-0603/tu-dan-0603-22pf-50v-5-10c_sp1063_ct14360.aspx</t>
  </si>
  <si>
    <t>Trùng C0603 25V</t>
  </si>
  <si>
    <t>https://linhkienchatluong.vn/tu-dan-0603/tu-dan-0603-33pf-50v-5-10c_sp1063_ct14361.aspx</t>
  </si>
  <si>
    <t>https://linhkienchatluong.vn/diode-schottky/1n5819-ss14-sma-diode-schottky-1a-40v-chinh-hang-mic-10c_sp571_ct11727.aspx</t>
  </si>
  <si>
    <t>https://linhkienchatluong.vn/led-dan-0603/led-dan-0603-mau-do-10c_sp1083_ct9911.aspx</t>
  </si>
  <si>
    <t>https://linhkienchatluong.vn/cuon-loc/ferrite-beads-0805-100r-10c_sp487_ct11159.aspx</t>
  </si>
  <si>
    <t>https://linhkien.cxt.vn/9545-blm18sg121tn1d-ferrite-bead-120-ohm-0603-1ln-10c.html</t>
  </si>
  <si>
    <t>https://linhkien.cxt.vn/1563-stm32f407vet6-ic-mcu-32-bit-512kb-flash-100lqfp.html</t>
  </si>
  <si>
    <t>https://linhkien.cxt.vn/4838-sn74lvc125apwr-tssop-14-ic-buffer-non-inverting-36v.html</t>
  </si>
  <si>
    <t>https://linhkien.cxt.vn/1651-de-pin-cr1220-3v-han-dan.html</t>
  </si>
  <si>
    <t>https://linhkien.cxt.vn/6558-cdsot23-t24can-q-tvs-diode-24vwm-40vc-sot23.html</t>
  </si>
  <si>
    <t>https://linhkien.cxt.vn/2702-cau-dau-kf126-508mm.html</t>
  </si>
  <si>
    <t>https://linhkienchatluong.vn/jump-254mm/jump-duc-don-254mm-1x40p-chan-thang_sp878_ct1725.aspx</t>
  </si>
  <si>
    <t>Giống J3</t>
  </si>
  <si>
    <t>https://linhkienchatluong.vn/cong-usb-may-tinh-may-in/cong-microusb-mk5p-5p-chan-dan-chot-dan-smd-dong-day_sp731_ct2306.aspx</t>
  </si>
  <si>
    <t>https://linhkienchatluong.vn/khe-the-nho-khe-sim/khe-cam-the-nho-tf-microsd-9p-nhan-nha-thao-the-socket-the-nho_sp732_ct2318.aspx</t>
  </si>
  <si>
    <t>https://linhkienchatluong.vn/jump-254mm/jump-cai-don-254mm-1x20p-chan-thang_sp878_ct16894.aspx</t>
  </si>
  <si>
    <t>https://linhkienchatluong.vn/cuon-cam-dan-cd43-45x4x32mm/cuon-cam-dan-47uh-cd43-4r7-45x4x32mm_sp464_ct1091.aspx</t>
  </si>
  <si>
    <t>https://linhkienchatluong.vn/led-dan-0603/led-dan-0603-mau-xanh-duong-10c_sp1083_ct9914.aspx</t>
  </si>
  <si>
    <t>https://linhkien.cxt.vn/1155-hr911105a.html</t>
  </si>
  <si>
    <t>https://linhkienchatluong.vn/dien-tro-dan-0603-116w-1/dien-tro-dan-0603-20k-1-50c_sp836_ct8433.aspx</t>
  </si>
  <si>
    <t>https://linhkien.cxt.vn/9515-dien-tro-10k-0603-1-18w-50c.html</t>
  </si>
  <si>
    <t>https://linhkienchatluong.vn/dien-tro-dan-0603-116w-1/dien-tro-dan-0603-18k-1-50c_sp836_ct8423.aspx</t>
  </si>
  <si>
    <t>https://linhkienchatluong.vn/dien-tro-dan-0603-116w-1/dien-tro-dan-0603-47k-1-50c_sp836_ct8437.aspx</t>
  </si>
  <si>
    <t>https://linhkienchatluong.vn/dien-tro-dan-0603-116w-1/dien-tro-dan-0603-430r-1-50c_sp836_ct8420.aspx</t>
  </si>
  <si>
    <t>https://linhkien.cxt.vn/7742-dien-tro-121k-0603-1-50c.html</t>
  </si>
  <si>
    <t>https://linhkien.cxt.vn/5939-dien-tro-750r-0603-1-50c.html</t>
  </si>
  <si>
    <t>https://linhkien.cxt.vn/3650-dien-tro-0603-1-thong-so-tu-1k-den-91k.html</t>
  </si>
  <si>
    <t>R0603_4k02(4k22)</t>
  </si>
  <si>
    <t>https://linhkien.cxt.vn/6262-nut-nhan-smd-2p.html</t>
  </si>
  <si>
    <t>https://dientu360.com/ap63200wu-7</t>
  </si>
  <si>
    <t>https://linhkien.cxt.vn/1860-rt9193-33gb.html</t>
  </si>
  <si>
    <t>https://linhkien.cxt.vn/8066-ncp1117st33t3g-ic-reg-linear-33v-1a-sot223.html</t>
  </si>
  <si>
    <t>https://linhkien.cxt.vn/1660-lan8720ai-cp-tr-ic-transceiver-full-22-24sqfn.html</t>
  </si>
  <si>
    <t>https://htpro.vn/module-nguon-cach-ly/b0505s-1wr3.html</t>
  </si>
  <si>
    <t>https://linhkienchatluong.vn/ic-giao-tiep--mang/max3485-esa-sop-8-loai-thuong_sp575_ct6014.aspx</t>
  </si>
  <si>
    <t>https://linhkienchatluong.vn/cac-loai-thach-anh-khac/thach-anh-8mhz-5032-5x32mm-smd-2p_sp615_ct1170.aspx</t>
  </si>
  <si>
    <t>https://linhkienchatluong.vn/thach-anh-chan-cam-hc-49s/thach-anh-25mhz-hc-49s_sp610_ct1082.aspx</t>
  </si>
  <si>
    <t>PCB</t>
  </si>
  <si>
    <t>Tổng tiền</t>
  </si>
  <si>
    <t>Hộp đựng linh kiện</t>
  </si>
  <si>
    <t>Hợp đựng linh kiện 24 ô</t>
  </si>
  <si>
    <t>https://linhkienchatluong.vn/hop-dung-linh-kien/hop-dung-linh-kien-24-ngan-190x125x35mm_sp816_ct2508.aspx</t>
  </si>
  <si>
    <t>Bo mạch DLU 11x6cm</t>
  </si>
  <si>
    <t>CXT</t>
  </si>
  <si>
    <t>STT</t>
  </si>
  <si>
    <t>Giá (VND)</t>
  </si>
  <si>
    <t>kit ESP32</t>
  </si>
  <si>
    <t>https://linhkien.cxt.vn/3089-kit-rf-thu-phat-wifi-ble-esp32-cp2102-nodemcu-luanode32.html</t>
  </si>
  <si>
    <t>Kit SIM7600GH</t>
  </si>
  <si>
    <t>https://www.proe.vn/sim7600g-h-4g-module</t>
  </si>
  <si>
    <t>Option wifi</t>
  </si>
  <si>
    <t>Option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</si>
</sst>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D8E8-14C0-4D49-BAD7-9C920E3D1F11}">
  <sheetPr>
    <pageSetUpPr fitToPage="1"/>
  </sheetPr>
  <dimension ref="A1:J59"/>
  <sheetViews>
    <sheetView tabSelected="1" topLeftCell="A54" zoomScale="70" zoomScaleNormal="70" workbookViewId="0">
      <selection activeCell="J54" sqref="J54"/>
    </sheetView>
  </sheetViews>
  <sheetFormatPr defaultRowHeight="14.4" x14ac:dyDescent="0.3"/>
  <cols>
    <col min="1" max="1" width="8.88671875" style="5"/>
    <col min="2" max="2" width="19" style="5" customWidth="1"/>
    <col min="3" max="4" width="16" style="5" customWidth="1"/>
    <col min="5" max="5" width="20.5546875" style="5" customWidth="1"/>
    <col min="6" max="8" width="19" style="5" customWidth="1"/>
    <col min="9" max="9" width="13" style="5" customWidth="1"/>
    <col min="10" max="10" width="23.88671875" style="5" customWidth="1"/>
    <col min="11" max="16384" width="8.88671875" style="5"/>
  </cols>
  <sheetData>
    <row r="1" spans="1:10" s="4" customFormat="1" ht="28.8" x14ac:dyDescent="0.3">
      <c r="A1" s="7" t="s">
        <v>286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231</v>
      </c>
      <c r="J1" s="1" t="s">
        <v>287</v>
      </c>
    </row>
    <row r="2" spans="1:10" ht="158.4" x14ac:dyDescent="0.3">
      <c r="A2" s="6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1</v>
      </c>
      <c r="I2" s="2" t="s">
        <v>232</v>
      </c>
      <c r="J2" s="2" t="s">
        <v>233</v>
      </c>
    </row>
    <row r="3" spans="1:10" ht="201.6" x14ac:dyDescent="0.3">
      <c r="A3" s="6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>
        <v>1</v>
      </c>
      <c r="I3" s="2" t="s">
        <v>234</v>
      </c>
      <c r="J3" s="3">
        <v>10000</v>
      </c>
    </row>
    <row r="4" spans="1:10" ht="158.4" x14ac:dyDescent="0.3">
      <c r="A4" s="6">
        <v>3</v>
      </c>
      <c r="B4" s="2" t="s">
        <v>19</v>
      </c>
      <c r="C4" s="2" t="s">
        <v>20</v>
      </c>
      <c r="D4" s="2" t="s">
        <v>9</v>
      </c>
      <c r="E4" s="2" t="s">
        <v>21</v>
      </c>
      <c r="F4" s="2" t="s">
        <v>22</v>
      </c>
      <c r="G4" s="2" t="s">
        <v>12</v>
      </c>
      <c r="H4" s="3">
        <v>4</v>
      </c>
      <c r="I4" s="2" t="s">
        <v>235</v>
      </c>
      <c r="J4" s="3">
        <v>2000</v>
      </c>
    </row>
    <row r="5" spans="1:10" ht="201.6" x14ac:dyDescent="0.3">
      <c r="A5" s="6">
        <v>4</v>
      </c>
      <c r="B5" s="2" t="s">
        <v>23</v>
      </c>
      <c r="C5" s="2" t="s">
        <v>24</v>
      </c>
      <c r="D5" s="2" t="s">
        <v>9</v>
      </c>
      <c r="E5" s="2" t="s">
        <v>25</v>
      </c>
      <c r="F5" s="2" t="s">
        <v>26</v>
      </c>
      <c r="G5" s="2" t="s">
        <v>27</v>
      </c>
      <c r="H5" s="3">
        <v>1</v>
      </c>
      <c r="I5" s="2" t="s">
        <v>236</v>
      </c>
      <c r="J5" s="3">
        <v>10000</v>
      </c>
    </row>
    <row r="6" spans="1:10" ht="72" x14ac:dyDescent="0.3">
      <c r="A6" s="6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18</v>
      </c>
      <c r="H6" s="3">
        <v>1</v>
      </c>
      <c r="I6" s="3" t="s">
        <v>237</v>
      </c>
      <c r="J6" s="3">
        <v>0</v>
      </c>
    </row>
    <row r="7" spans="1:10" ht="158.4" x14ac:dyDescent="0.3">
      <c r="A7" s="6">
        <v>6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3">
        <v>2</v>
      </c>
      <c r="I7" s="2" t="s">
        <v>238</v>
      </c>
      <c r="J7" s="3">
        <v>12000</v>
      </c>
    </row>
    <row r="8" spans="1:10" ht="158.4" x14ac:dyDescent="0.3">
      <c r="A8" s="6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12</v>
      </c>
      <c r="H8" s="3">
        <v>27</v>
      </c>
      <c r="I8" s="2" t="s">
        <v>239</v>
      </c>
      <c r="J8" s="3">
        <v>10000</v>
      </c>
    </row>
    <row r="9" spans="1:10" ht="158.4" x14ac:dyDescent="0.3">
      <c r="A9" s="6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12</v>
      </c>
      <c r="H9" s="3">
        <v>3</v>
      </c>
      <c r="I9" s="2" t="s">
        <v>240</v>
      </c>
      <c r="J9" s="3">
        <v>2000</v>
      </c>
    </row>
    <row r="10" spans="1:10" ht="158.4" x14ac:dyDescent="0.3">
      <c r="A10" s="6">
        <v>9</v>
      </c>
      <c r="B10" s="2" t="s">
        <v>49</v>
      </c>
      <c r="C10" s="2" t="s">
        <v>50</v>
      </c>
      <c r="D10" s="2" t="s">
        <v>9</v>
      </c>
      <c r="E10" s="2" t="s">
        <v>51</v>
      </c>
      <c r="F10" s="2" t="s">
        <v>52</v>
      </c>
      <c r="G10" s="2" t="s">
        <v>12</v>
      </c>
      <c r="H10" s="3">
        <v>2</v>
      </c>
      <c r="I10" s="2" t="s">
        <v>241</v>
      </c>
      <c r="J10" s="3">
        <v>2000</v>
      </c>
    </row>
    <row r="11" spans="1:10" ht="57.6" x14ac:dyDescent="0.3">
      <c r="A11" s="6">
        <v>10</v>
      </c>
      <c r="B11" s="2" t="s">
        <v>53</v>
      </c>
      <c r="C11" s="2" t="s">
        <v>54</v>
      </c>
      <c r="D11" s="2" t="s">
        <v>41</v>
      </c>
      <c r="E11" s="2" t="s">
        <v>55</v>
      </c>
      <c r="F11" s="2" t="s">
        <v>56</v>
      </c>
      <c r="G11" s="2" t="s">
        <v>12</v>
      </c>
      <c r="H11" s="3">
        <v>1</v>
      </c>
      <c r="I11" s="3" t="s">
        <v>242</v>
      </c>
      <c r="J11" s="3">
        <v>3000</v>
      </c>
    </row>
    <row r="12" spans="1:10" ht="158.4" x14ac:dyDescent="0.3">
      <c r="A12" s="6">
        <v>11</v>
      </c>
      <c r="B12" s="2" t="s">
        <v>57</v>
      </c>
      <c r="C12" s="2" t="s">
        <v>58</v>
      </c>
      <c r="D12" s="2" t="s">
        <v>9</v>
      </c>
      <c r="E12" s="2" t="s">
        <v>59</v>
      </c>
      <c r="F12" s="2" t="s">
        <v>60</v>
      </c>
      <c r="G12" s="2" t="s">
        <v>12</v>
      </c>
      <c r="H12" s="3">
        <v>2</v>
      </c>
      <c r="I12" s="2" t="s">
        <v>243</v>
      </c>
      <c r="J12" s="3">
        <v>3000</v>
      </c>
    </row>
    <row r="13" spans="1:10" ht="216" x14ac:dyDescent="0.3">
      <c r="A13" s="6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62</v>
      </c>
      <c r="G13" s="2" t="s">
        <v>65</v>
      </c>
      <c r="H13" s="3">
        <v>5</v>
      </c>
      <c r="I13" s="2" t="s">
        <v>244</v>
      </c>
      <c r="J13" s="3">
        <v>6000</v>
      </c>
    </row>
    <row r="14" spans="1:10" ht="144" x14ac:dyDescent="0.3">
      <c r="A14" s="6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71</v>
      </c>
      <c r="H14" s="3">
        <v>7</v>
      </c>
      <c r="I14" s="2" t="s">
        <v>245</v>
      </c>
      <c r="J14" s="3">
        <v>4000</v>
      </c>
    </row>
    <row r="15" spans="1:10" ht="144" x14ac:dyDescent="0.3">
      <c r="A15" s="6">
        <v>14</v>
      </c>
      <c r="B15" s="2" t="s">
        <v>72</v>
      </c>
      <c r="C15" s="3"/>
      <c r="D15" s="2" t="s">
        <v>73</v>
      </c>
      <c r="E15" s="2" t="s">
        <v>74</v>
      </c>
      <c r="F15" s="2" t="s">
        <v>75</v>
      </c>
      <c r="G15" s="2" t="s">
        <v>76</v>
      </c>
      <c r="H15" s="3">
        <v>7</v>
      </c>
      <c r="I15" s="2" t="s">
        <v>251</v>
      </c>
      <c r="J15" s="3">
        <v>15000</v>
      </c>
    </row>
    <row r="16" spans="1:10" x14ac:dyDescent="0.3">
      <c r="A16" s="6">
        <v>15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78</v>
      </c>
      <c r="G16" s="2" t="s">
        <v>74</v>
      </c>
      <c r="H16" s="3">
        <v>1</v>
      </c>
      <c r="I16" s="3"/>
      <c r="J16" s="3"/>
    </row>
    <row r="17" spans="1:10" x14ac:dyDescent="0.3">
      <c r="A17" s="6">
        <v>16</v>
      </c>
      <c r="B17" s="2" t="s">
        <v>81</v>
      </c>
      <c r="C17" s="2" t="s">
        <v>82</v>
      </c>
      <c r="D17" s="2" t="s">
        <v>79</v>
      </c>
      <c r="E17" s="2" t="s">
        <v>83</v>
      </c>
      <c r="F17" s="2" t="s">
        <v>82</v>
      </c>
      <c r="G17" s="2" t="s">
        <v>84</v>
      </c>
      <c r="H17" s="3">
        <v>1</v>
      </c>
      <c r="I17" s="3"/>
      <c r="J17" s="3"/>
    </row>
    <row r="18" spans="1:10" ht="158.4" x14ac:dyDescent="0.3">
      <c r="A18" s="6">
        <v>17</v>
      </c>
      <c r="B18" s="2" t="s">
        <v>85</v>
      </c>
      <c r="C18" s="2" t="s">
        <v>86</v>
      </c>
      <c r="D18" s="2" t="s">
        <v>87</v>
      </c>
      <c r="E18" s="2" t="s">
        <v>74</v>
      </c>
      <c r="F18" s="2" t="s">
        <v>88</v>
      </c>
      <c r="G18" s="2" t="s">
        <v>89</v>
      </c>
      <c r="H18" s="3">
        <v>4</v>
      </c>
      <c r="I18" s="2" t="s">
        <v>246</v>
      </c>
      <c r="J18" s="3">
        <v>10000</v>
      </c>
    </row>
    <row r="19" spans="1:10" ht="144" x14ac:dyDescent="0.3">
      <c r="A19" s="6">
        <v>18</v>
      </c>
      <c r="B19" s="2" t="s">
        <v>90</v>
      </c>
      <c r="C19" s="3"/>
      <c r="D19" s="2" t="s">
        <v>91</v>
      </c>
      <c r="E19" s="2" t="s">
        <v>74</v>
      </c>
      <c r="F19" s="2" t="s">
        <v>92</v>
      </c>
      <c r="G19" s="2" t="s">
        <v>93</v>
      </c>
      <c r="H19" s="3">
        <v>1</v>
      </c>
      <c r="I19" s="2" t="s">
        <v>247</v>
      </c>
      <c r="J19" s="3">
        <v>5000</v>
      </c>
    </row>
    <row r="20" spans="1:10" ht="28.8" x14ac:dyDescent="0.3">
      <c r="A20" s="6">
        <v>19</v>
      </c>
      <c r="B20" s="2" t="s">
        <v>94</v>
      </c>
      <c r="C20" s="2" t="s">
        <v>95</v>
      </c>
      <c r="D20" s="2" t="s">
        <v>41</v>
      </c>
      <c r="E20" s="2" t="s">
        <v>96</v>
      </c>
      <c r="F20" s="2" t="s">
        <v>95</v>
      </c>
      <c r="G20" s="2" t="s">
        <v>97</v>
      </c>
      <c r="H20" s="3">
        <v>1</v>
      </c>
      <c r="I20" s="3"/>
      <c r="J20" s="3"/>
    </row>
    <row r="21" spans="1:10" ht="144" x14ac:dyDescent="0.3">
      <c r="A21" s="6">
        <v>20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99</v>
      </c>
      <c r="G21" s="2" t="s">
        <v>102</v>
      </c>
      <c r="H21" s="3">
        <v>1</v>
      </c>
      <c r="I21" s="2" t="s">
        <v>248</v>
      </c>
      <c r="J21" s="3">
        <v>160000</v>
      </c>
    </row>
    <row r="22" spans="1:10" ht="28.8" x14ac:dyDescent="0.3">
      <c r="A22" s="6">
        <v>21</v>
      </c>
      <c r="B22" s="2" t="s">
        <v>103</v>
      </c>
      <c r="C22" s="2" t="s">
        <v>104</v>
      </c>
      <c r="D22" s="2" t="s">
        <v>105</v>
      </c>
      <c r="E22" s="2" t="s">
        <v>101</v>
      </c>
      <c r="F22" s="2" t="s">
        <v>104</v>
      </c>
      <c r="G22" s="2" t="s">
        <v>106</v>
      </c>
      <c r="H22" s="3">
        <v>1</v>
      </c>
      <c r="I22" s="3"/>
      <c r="J22" s="3"/>
    </row>
    <row r="23" spans="1:10" ht="144" x14ac:dyDescent="0.3">
      <c r="A23" s="6">
        <v>22</v>
      </c>
      <c r="B23" s="2" t="s">
        <v>107</v>
      </c>
      <c r="C23" s="2" t="s">
        <v>108</v>
      </c>
      <c r="D23" s="2" t="s">
        <v>109</v>
      </c>
      <c r="E23" s="2" t="s">
        <v>101</v>
      </c>
      <c r="F23" s="2" t="s">
        <v>108</v>
      </c>
      <c r="G23" s="2" t="s">
        <v>108</v>
      </c>
      <c r="H23" s="3">
        <v>1</v>
      </c>
      <c r="I23" s="2" t="s">
        <v>249</v>
      </c>
      <c r="J23" s="3">
        <v>8000</v>
      </c>
    </row>
    <row r="24" spans="1:10" ht="100.8" x14ac:dyDescent="0.3">
      <c r="A24" s="6">
        <v>23</v>
      </c>
      <c r="B24" s="2" t="s">
        <v>110</v>
      </c>
      <c r="C24" s="2" t="s">
        <v>111</v>
      </c>
      <c r="D24" s="2" t="s">
        <v>112</v>
      </c>
      <c r="E24" s="2" t="s">
        <v>101</v>
      </c>
      <c r="F24" s="2" t="s">
        <v>111</v>
      </c>
      <c r="G24" s="2" t="s">
        <v>113</v>
      </c>
      <c r="H24" s="3">
        <v>1</v>
      </c>
      <c r="I24" s="2" t="s">
        <v>250</v>
      </c>
      <c r="J24" s="3">
        <v>6000</v>
      </c>
    </row>
    <row r="25" spans="1:10" ht="100.8" x14ac:dyDescent="0.3">
      <c r="A25" s="6">
        <v>24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118</v>
      </c>
      <c r="G25" s="2" t="s">
        <v>115</v>
      </c>
      <c r="H25" s="3">
        <v>9</v>
      </c>
      <c r="I25" s="2" t="s">
        <v>252</v>
      </c>
      <c r="J25" s="3">
        <v>27000</v>
      </c>
    </row>
    <row r="26" spans="1:10" ht="187.2" x14ac:dyDescent="0.3">
      <c r="A26" s="6">
        <v>25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123</v>
      </c>
      <c r="G26" s="2" t="s">
        <v>124</v>
      </c>
      <c r="H26" s="3">
        <v>1</v>
      </c>
      <c r="I26" s="2" t="s">
        <v>253</v>
      </c>
      <c r="J26" s="3">
        <v>2000</v>
      </c>
    </row>
    <row r="27" spans="1:10" ht="57.6" x14ac:dyDescent="0.3">
      <c r="A27" s="6">
        <v>26</v>
      </c>
      <c r="B27" s="2" t="s">
        <v>125</v>
      </c>
      <c r="C27" s="2" t="s">
        <v>126</v>
      </c>
      <c r="D27" s="2" t="s">
        <v>68</v>
      </c>
      <c r="E27" s="2" t="s">
        <v>127</v>
      </c>
      <c r="F27" s="2" t="s">
        <v>128</v>
      </c>
      <c r="G27" s="2" t="s">
        <v>129</v>
      </c>
      <c r="H27" s="3">
        <v>1</v>
      </c>
      <c r="I27" s="3" t="s">
        <v>254</v>
      </c>
      <c r="J27" s="3"/>
    </row>
    <row r="28" spans="1:10" ht="230.4" x14ac:dyDescent="0.3">
      <c r="A28" s="6">
        <v>27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131</v>
      </c>
      <c r="G28" s="2" t="s">
        <v>134</v>
      </c>
      <c r="H28" s="3">
        <v>1</v>
      </c>
      <c r="I28" s="2" t="s">
        <v>255</v>
      </c>
      <c r="J28" s="3">
        <v>2000</v>
      </c>
    </row>
    <row r="29" spans="1:10" ht="259.2" x14ac:dyDescent="0.3">
      <c r="A29" s="6">
        <v>28</v>
      </c>
      <c r="B29" s="2" t="s">
        <v>135</v>
      </c>
      <c r="C29" s="2" t="s">
        <v>136</v>
      </c>
      <c r="D29" s="2" t="s">
        <v>137</v>
      </c>
      <c r="E29" s="2" t="s">
        <v>133</v>
      </c>
      <c r="F29" s="2" t="s">
        <v>136</v>
      </c>
      <c r="G29" s="2" t="s">
        <v>138</v>
      </c>
      <c r="H29" s="3">
        <v>1</v>
      </c>
      <c r="I29" s="2" t="s">
        <v>256</v>
      </c>
      <c r="J29" s="3">
        <v>3000</v>
      </c>
    </row>
    <row r="30" spans="1:10" ht="187.2" x14ac:dyDescent="0.3">
      <c r="A30" s="6">
        <v>29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140</v>
      </c>
      <c r="G30" s="2" t="s">
        <v>143</v>
      </c>
      <c r="H30" s="3">
        <v>2</v>
      </c>
      <c r="I30" s="2" t="s">
        <v>257</v>
      </c>
      <c r="J30" s="3">
        <v>5000</v>
      </c>
    </row>
    <row r="31" spans="1:10" ht="144" x14ac:dyDescent="0.3">
      <c r="A31" s="6">
        <v>30</v>
      </c>
      <c r="B31" s="2" t="s">
        <v>144</v>
      </c>
      <c r="C31" s="2" t="s">
        <v>145</v>
      </c>
      <c r="D31" s="2" t="s">
        <v>146</v>
      </c>
      <c r="E31" s="2" t="s">
        <v>74</v>
      </c>
      <c r="F31" s="2" t="s">
        <v>147</v>
      </c>
      <c r="G31" s="2" t="s">
        <v>148</v>
      </c>
      <c r="H31" s="3">
        <v>1</v>
      </c>
      <c r="I31" s="2" t="s">
        <v>258</v>
      </c>
      <c r="J31" s="3">
        <v>2000</v>
      </c>
    </row>
    <row r="32" spans="1:10" ht="172.8" x14ac:dyDescent="0.3">
      <c r="A32" s="6">
        <v>31</v>
      </c>
      <c r="B32" s="2" t="s">
        <v>149</v>
      </c>
      <c r="C32" s="2" t="s">
        <v>150</v>
      </c>
      <c r="D32" s="2" t="s">
        <v>68</v>
      </c>
      <c r="E32" s="2" t="s">
        <v>151</v>
      </c>
      <c r="F32" s="2" t="s">
        <v>152</v>
      </c>
      <c r="G32" s="2" t="s">
        <v>71</v>
      </c>
      <c r="H32" s="3">
        <v>3</v>
      </c>
      <c r="I32" s="2" t="s">
        <v>259</v>
      </c>
      <c r="J32" s="3">
        <v>2000</v>
      </c>
    </row>
    <row r="33" spans="1:10" ht="72" x14ac:dyDescent="0.3">
      <c r="A33" s="6">
        <v>32</v>
      </c>
      <c r="B33" s="2" t="s">
        <v>153</v>
      </c>
      <c r="C33" s="3"/>
      <c r="D33" s="3"/>
      <c r="E33" s="2" t="s">
        <v>74</v>
      </c>
      <c r="F33" s="2" t="s">
        <v>154</v>
      </c>
      <c r="G33" s="2" t="s">
        <v>154</v>
      </c>
      <c r="H33" s="3">
        <v>1</v>
      </c>
      <c r="I33" s="2" t="s">
        <v>260</v>
      </c>
      <c r="J33" s="3">
        <v>26000</v>
      </c>
    </row>
    <row r="34" spans="1:10" ht="201.6" x14ac:dyDescent="0.3">
      <c r="A34" s="6">
        <v>33</v>
      </c>
      <c r="B34" s="2" t="s">
        <v>155</v>
      </c>
      <c r="C34" s="2" t="s">
        <v>156</v>
      </c>
      <c r="D34" s="2" t="s">
        <v>15</v>
      </c>
      <c r="E34" s="2" t="s">
        <v>157</v>
      </c>
      <c r="F34" s="2" t="s">
        <v>158</v>
      </c>
      <c r="G34" s="2" t="s">
        <v>159</v>
      </c>
      <c r="H34" s="3">
        <v>1</v>
      </c>
      <c r="I34" s="2" t="s">
        <v>261</v>
      </c>
      <c r="J34" s="3">
        <v>2000</v>
      </c>
    </row>
    <row r="35" spans="1:10" ht="100.8" x14ac:dyDescent="0.3">
      <c r="A35" s="6">
        <v>34</v>
      </c>
      <c r="B35" s="2" t="s">
        <v>160</v>
      </c>
      <c r="C35" s="2" t="s">
        <v>161</v>
      </c>
      <c r="D35" s="2" t="s">
        <v>15</v>
      </c>
      <c r="E35" s="2" t="s">
        <v>162</v>
      </c>
      <c r="F35" s="2" t="s">
        <v>163</v>
      </c>
      <c r="G35" s="2" t="s">
        <v>159</v>
      </c>
      <c r="H35" s="3">
        <v>24</v>
      </c>
      <c r="I35" s="2" t="s">
        <v>262</v>
      </c>
      <c r="J35" s="3">
        <v>8000</v>
      </c>
    </row>
    <row r="36" spans="1:10" ht="201.6" x14ac:dyDescent="0.3">
      <c r="A36" s="6">
        <v>35</v>
      </c>
      <c r="B36" s="2" t="s">
        <v>164</v>
      </c>
      <c r="C36" s="2" t="s">
        <v>165</v>
      </c>
      <c r="D36" s="2" t="s">
        <v>15</v>
      </c>
      <c r="E36" s="2" t="s">
        <v>157</v>
      </c>
      <c r="F36" s="2" t="s">
        <v>166</v>
      </c>
      <c r="G36" s="2" t="s">
        <v>159</v>
      </c>
      <c r="H36" s="3">
        <v>1</v>
      </c>
      <c r="I36" s="2" t="s">
        <v>263</v>
      </c>
      <c r="J36" s="3">
        <v>2000</v>
      </c>
    </row>
    <row r="37" spans="1:10" ht="201.6" x14ac:dyDescent="0.3">
      <c r="A37" s="6">
        <v>36</v>
      </c>
      <c r="B37" s="2" t="s">
        <v>167</v>
      </c>
      <c r="C37" s="2" t="s">
        <v>168</v>
      </c>
      <c r="D37" s="2" t="s">
        <v>15</v>
      </c>
      <c r="E37" s="2" t="s">
        <v>157</v>
      </c>
      <c r="F37" s="2" t="s">
        <v>169</v>
      </c>
      <c r="G37" s="2" t="s">
        <v>159</v>
      </c>
      <c r="H37" s="3">
        <v>4</v>
      </c>
      <c r="I37" s="2" t="s">
        <v>264</v>
      </c>
      <c r="J37" s="3">
        <v>2000</v>
      </c>
    </row>
    <row r="38" spans="1:10" ht="201.6" x14ac:dyDescent="0.3">
      <c r="A38" s="6">
        <v>37</v>
      </c>
      <c r="B38" s="2" t="s">
        <v>170</v>
      </c>
      <c r="C38" s="2" t="s">
        <v>171</v>
      </c>
      <c r="D38" s="2" t="s">
        <v>15</v>
      </c>
      <c r="E38" s="2" t="s">
        <v>157</v>
      </c>
      <c r="F38" s="2" t="s">
        <v>172</v>
      </c>
      <c r="G38" s="2" t="s">
        <v>159</v>
      </c>
      <c r="H38" s="3">
        <v>10</v>
      </c>
      <c r="I38" s="2" t="s">
        <v>263</v>
      </c>
      <c r="J38" s="3">
        <v>2000</v>
      </c>
    </row>
    <row r="39" spans="1:10" ht="201.6" x14ac:dyDescent="0.3">
      <c r="A39" s="6">
        <v>38</v>
      </c>
      <c r="B39" s="2" t="s">
        <v>173</v>
      </c>
      <c r="C39" s="2" t="s">
        <v>174</v>
      </c>
      <c r="D39" s="2" t="s">
        <v>15</v>
      </c>
      <c r="E39" s="2" t="s">
        <v>157</v>
      </c>
      <c r="F39" s="2" t="s">
        <v>175</v>
      </c>
      <c r="G39" s="2" t="s">
        <v>159</v>
      </c>
      <c r="H39" s="3">
        <v>2</v>
      </c>
      <c r="I39" s="2" t="s">
        <v>265</v>
      </c>
      <c r="J39" s="3">
        <v>2000</v>
      </c>
    </row>
    <row r="40" spans="1:10" ht="100.8" x14ac:dyDescent="0.3">
      <c r="A40" s="6">
        <v>39</v>
      </c>
      <c r="B40" s="2" t="s">
        <v>176</v>
      </c>
      <c r="C40" s="2" t="s">
        <v>177</v>
      </c>
      <c r="D40" s="2" t="s">
        <v>15</v>
      </c>
      <c r="E40" s="2" t="s">
        <v>157</v>
      </c>
      <c r="F40" s="2" t="s">
        <v>178</v>
      </c>
      <c r="G40" s="2" t="s">
        <v>159</v>
      </c>
      <c r="H40" s="3">
        <v>1</v>
      </c>
      <c r="I40" s="2" t="s">
        <v>266</v>
      </c>
      <c r="J40" s="3">
        <v>2000</v>
      </c>
    </row>
    <row r="41" spans="1:10" ht="100.8" x14ac:dyDescent="0.3">
      <c r="A41" s="6">
        <v>40</v>
      </c>
      <c r="B41" s="2" t="s">
        <v>179</v>
      </c>
      <c r="C41" s="2" t="s">
        <v>180</v>
      </c>
      <c r="D41" s="2" t="s">
        <v>15</v>
      </c>
      <c r="E41" s="2" t="s">
        <v>157</v>
      </c>
      <c r="F41" s="2" t="s">
        <v>181</v>
      </c>
      <c r="G41" s="2" t="s">
        <v>159</v>
      </c>
      <c r="H41" s="3">
        <v>14</v>
      </c>
      <c r="I41" s="2" t="s">
        <v>267</v>
      </c>
      <c r="J41" s="3">
        <v>2000</v>
      </c>
    </row>
    <row r="42" spans="1:10" ht="115.2" x14ac:dyDescent="0.3">
      <c r="A42" s="6">
        <v>41</v>
      </c>
      <c r="B42" s="2" t="s">
        <v>182</v>
      </c>
      <c r="C42" s="2" t="s">
        <v>183</v>
      </c>
      <c r="D42" s="2" t="s">
        <v>15</v>
      </c>
      <c r="E42" s="2" t="s">
        <v>157</v>
      </c>
      <c r="F42" s="2" t="s">
        <v>269</v>
      </c>
      <c r="G42" s="2" t="s">
        <v>159</v>
      </c>
      <c r="H42" s="3">
        <v>1</v>
      </c>
      <c r="I42" s="2" t="s">
        <v>268</v>
      </c>
      <c r="J42" s="3">
        <v>2000</v>
      </c>
    </row>
    <row r="43" spans="1:10" ht="100.8" x14ac:dyDescent="0.3">
      <c r="A43" s="6">
        <v>42</v>
      </c>
      <c r="B43" s="2" t="s">
        <v>184</v>
      </c>
      <c r="C43" s="2" t="s">
        <v>185</v>
      </c>
      <c r="D43" s="2" t="s">
        <v>15</v>
      </c>
      <c r="E43" s="2" t="s">
        <v>186</v>
      </c>
      <c r="F43" s="2" t="s">
        <v>187</v>
      </c>
      <c r="G43" s="2" t="s">
        <v>159</v>
      </c>
      <c r="H43" s="3">
        <v>7</v>
      </c>
      <c r="I43" s="2" t="s">
        <v>267</v>
      </c>
      <c r="J43" s="3">
        <v>2000</v>
      </c>
    </row>
    <row r="44" spans="1:10" ht="115.2" x14ac:dyDescent="0.3">
      <c r="A44" s="6">
        <v>43</v>
      </c>
      <c r="B44" s="2" t="s">
        <v>188</v>
      </c>
      <c r="C44" s="2" t="s">
        <v>189</v>
      </c>
      <c r="D44" s="2" t="s">
        <v>15</v>
      </c>
      <c r="E44" s="2" t="s">
        <v>157</v>
      </c>
      <c r="F44" s="2" t="s">
        <v>190</v>
      </c>
      <c r="G44" s="2" t="s">
        <v>159</v>
      </c>
      <c r="H44" s="3">
        <v>4</v>
      </c>
      <c r="I44" s="2" t="s">
        <v>268</v>
      </c>
      <c r="J44" s="3">
        <v>2000</v>
      </c>
    </row>
    <row r="45" spans="1:10" ht="86.4" x14ac:dyDescent="0.3">
      <c r="A45" s="6">
        <v>44</v>
      </c>
      <c r="B45" s="2" t="s">
        <v>191</v>
      </c>
      <c r="C45" s="2" t="s">
        <v>192</v>
      </c>
      <c r="D45" s="2" t="s">
        <v>193</v>
      </c>
      <c r="E45" s="2" t="s">
        <v>74</v>
      </c>
      <c r="F45" s="2" t="s">
        <v>194</v>
      </c>
      <c r="G45" s="2" t="s">
        <v>195</v>
      </c>
      <c r="H45" s="3">
        <v>2</v>
      </c>
      <c r="I45" s="2" t="s">
        <v>270</v>
      </c>
      <c r="J45" s="3">
        <v>5000</v>
      </c>
    </row>
    <row r="46" spans="1:10" ht="72" x14ac:dyDescent="0.3">
      <c r="A46" s="6">
        <v>45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s">
        <v>200</v>
      </c>
      <c r="G46" s="2" t="s">
        <v>201</v>
      </c>
      <c r="H46" s="3">
        <v>1</v>
      </c>
      <c r="I46" s="2" t="s">
        <v>271</v>
      </c>
      <c r="J46" s="3">
        <v>80000</v>
      </c>
    </row>
    <row r="47" spans="1:10" ht="86.4" x14ac:dyDescent="0.3">
      <c r="A47" s="6">
        <v>46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s">
        <v>203</v>
      </c>
      <c r="G47" s="2" t="s">
        <v>206</v>
      </c>
      <c r="H47" s="3">
        <v>2</v>
      </c>
      <c r="I47" s="2" t="s">
        <v>272</v>
      </c>
      <c r="J47" s="3">
        <v>10000</v>
      </c>
    </row>
    <row r="48" spans="1:10" ht="129.6" x14ac:dyDescent="0.3">
      <c r="A48" s="6">
        <v>47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s">
        <v>208</v>
      </c>
      <c r="G48" s="2" t="s">
        <v>211</v>
      </c>
      <c r="H48" s="3">
        <v>1</v>
      </c>
      <c r="I48" s="2" t="s">
        <v>273</v>
      </c>
      <c r="J48" s="3">
        <v>27000</v>
      </c>
    </row>
    <row r="49" spans="1:10" ht="129.6" x14ac:dyDescent="0.3">
      <c r="A49" s="6">
        <v>48</v>
      </c>
      <c r="B49" s="2" t="s">
        <v>212</v>
      </c>
      <c r="C49" s="3"/>
      <c r="D49" s="2" t="s">
        <v>213</v>
      </c>
      <c r="E49" s="2" t="s">
        <v>74</v>
      </c>
      <c r="F49" s="2" t="s">
        <v>214</v>
      </c>
      <c r="G49" s="2" t="s">
        <v>215</v>
      </c>
      <c r="H49" s="3">
        <v>1</v>
      </c>
      <c r="I49" s="2" t="s">
        <v>274</v>
      </c>
      <c r="J49" s="3">
        <v>86000</v>
      </c>
    </row>
    <row r="50" spans="1:10" ht="115.2" x14ac:dyDescent="0.3">
      <c r="A50" s="6">
        <v>49</v>
      </c>
      <c r="B50" s="2" t="s">
        <v>216</v>
      </c>
      <c r="C50" s="2" t="s">
        <v>217</v>
      </c>
      <c r="D50" s="2" t="s">
        <v>218</v>
      </c>
      <c r="E50" s="2" t="s">
        <v>74</v>
      </c>
      <c r="F50" s="2" t="s">
        <v>217</v>
      </c>
      <c r="G50" s="2" t="s">
        <v>217</v>
      </c>
      <c r="H50" s="3">
        <v>1</v>
      </c>
      <c r="I50" s="2" t="s">
        <v>275</v>
      </c>
      <c r="J50" s="3">
        <v>62000</v>
      </c>
    </row>
    <row r="51" spans="1:10" ht="172.8" x14ac:dyDescent="0.3">
      <c r="A51" s="6">
        <v>50</v>
      </c>
      <c r="B51" s="2" t="s">
        <v>219</v>
      </c>
      <c r="C51" s="3"/>
      <c r="D51" s="2" t="s">
        <v>220</v>
      </c>
      <c r="E51" s="2" t="s">
        <v>74</v>
      </c>
      <c r="F51" s="2" t="s">
        <v>221</v>
      </c>
      <c r="G51" s="2" t="s">
        <v>222</v>
      </c>
      <c r="H51" s="3">
        <v>6</v>
      </c>
      <c r="I51" s="2" t="s">
        <v>276</v>
      </c>
      <c r="J51" s="3">
        <v>48000</v>
      </c>
    </row>
    <row r="52" spans="1:10" ht="230.4" x14ac:dyDescent="0.3">
      <c r="A52" s="6">
        <v>51</v>
      </c>
      <c r="B52" s="2" t="s">
        <v>223</v>
      </c>
      <c r="C52" s="2" t="s">
        <v>224</v>
      </c>
      <c r="D52" s="2" t="s">
        <v>198</v>
      </c>
      <c r="E52" s="2" t="s">
        <v>74</v>
      </c>
      <c r="F52" s="2" t="s">
        <v>225</v>
      </c>
      <c r="G52" s="2" t="s">
        <v>226</v>
      </c>
      <c r="H52" s="3">
        <v>1</v>
      </c>
      <c r="I52" s="2" t="s">
        <v>277</v>
      </c>
      <c r="J52" s="3">
        <v>10000</v>
      </c>
    </row>
    <row r="53" spans="1:10" ht="172.8" x14ac:dyDescent="0.3">
      <c r="A53" s="6">
        <v>52</v>
      </c>
      <c r="B53" s="2" t="s">
        <v>227</v>
      </c>
      <c r="C53" s="3"/>
      <c r="D53" s="2" t="s">
        <v>228</v>
      </c>
      <c r="E53" s="2" t="s">
        <v>74</v>
      </c>
      <c r="F53" s="2" t="s">
        <v>229</v>
      </c>
      <c r="G53" s="2" t="s">
        <v>230</v>
      </c>
      <c r="H53" s="3">
        <v>1</v>
      </c>
      <c r="I53" s="2" t="s">
        <v>278</v>
      </c>
      <c r="J53" s="3">
        <v>4000</v>
      </c>
    </row>
    <row r="54" spans="1:10" ht="129.6" x14ac:dyDescent="0.3">
      <c r="A54" s="6">
        <v>53</v>
      </c>
      <c r="B54" s="2" t="s">
        <v>281</v>
      </c>
      <c r="C54" s="3"/>
      <c r="D54" s="2"/>
      <c r="E54" s="2" t="s">
        <v>282</v>
      </c>
      <c r="F54" s="2"/>
      <c r="G54" s="2"/>
      <c r="H54" s="3">
        <v>2</v>
      </c>
      <c r="I54" s="2" t="s">
        <v>283</v>
      </c>
      <c r="J54" s="3">
        <v>66000</v>
      </c>
    </row>
    <row r="55" spans="1:10" ht="144" x14ac:dyDescent="0.3">
      <c r="A55" s="6"/>
      <c r="B55" s="2" t="s">
        <v>288</v>
      </c>
      <c r="C55" s="3"/>
      <c r="D55" s="2"/>
      <c r="E55" s="2"/>
      <c r="F55" s="2"/>
      <c r="G55" s="2"/>
      <c r="H55" s="3">
        <v>1</v>
      </c>
      <c r="I55" s="2" t="s">
        <v>289</v>
      </c>
      <c r="J55" s="3">
        <v>127000</v>
      </c>
    </row>
    <row r="56" spans="1:10" ht="72" x14ac:dyDescent="0.3">
      <c r="A56" s="6"/>
      <c r="B56" s="2" t="s">
        <v>290</v>
      </c>
      <c r="C56" s="3"/>
      <c r="D56" s="2"/>
      <c r="E56" s="2"/>
      <c r="F56" s="2"/>
      <c r="G56" s="2"/>
      <c r="H56" s="3">
        <v>1</v>
      </c>
      <c r="I56" s="2" t="s">
        <v>291</v>
      </c>
      <c r="J56" s="3">
        <v>1350000</v>
      </c>
    </row>
    <row r="57" spans="1:10" x14ac:dyDescent="0.3">
      <c r="A57" s="6">
        <v>54</v>
      </c>
      <c r="B57" s="6" t="s">
        <v>279</v>
      </c>
      <c r="C57" s="6"/>
      <c r="D57" s="6"/>
      <c r="E57" s="6" t="s">
        <v>284</v>
      </c>
      <c r="F57" s="6"/>
      <c r="G57" s="6"/>
      <c r="H57" s="6">
        <v>5</v>
      </c>
      <c r="I57" s="6" t="s">
        <v>285</v>
      </c>
      <c r="J57" s="6">
        <v>330000</v>
      </c>
    </row>
    <row r="58" spans="1:10" x14ac:dyDescent="0.3">
      <c r="A58" s="8">
        <v>55</v>
      </c>
      <c r="B58" s="8" t="s">
        <v>280</v>
      </c>
      <c r="C58" s="8"/>
      <c r="D58" s="8"/>
      <c r="E58" s="8"/>
      <c r="F58" s="8"/>
      <c r="G58" s="8"/>
      <c r="H58" s="8"/>
      <c r="I58" s="8" t="s">
        <v>292</v>
      </c>
      <c r="J58" s="8">
        <f>SUM(J1:J57)-J56</f>
        <v>1220000</v>
      </c>
    </row>
    <row r="59" spans="1:10" x14ac:dyDescent="0.3">
      <c r="A59" s="6"/>
      <c r="B59" s="6"/>
      <c r="C59" s="6"/>
      <c r="D59" s="6"/>
      <c r="E59" s="6"/>
      <c r="F59" s="6"/>
      <c r="G59" s="6"/>
      <c r="H59" s="6"/>
      <c r="I59" s="8" t="s">
        <v>293</v>
      </c>
      <c r="J59" s="8">
        <f>SUM(J1:J57)</f>
        <v>2570000</v>
      </c>
    </row>
  </sheetData>
  <autoFilter ref="B1:J1" xr:uid="{C9A7D8E8-14C0-4D49-BAD7-9C920E3D1F11}"/>
  <printOptions horizontalCentered="1" verticalCentered="1"/>
  <pageMargins left="0.30555555555555558" right="0.30555555555555558" top="0.30555555555555558" bottom="0.30555555555555558" header="0" footer="0"/>
  <pageSetup scale="2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BOM_DLU_PPK57</vt:lpstr>
      <vt:lpstr>BOM_DLU_PPK57!Print_Titles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Viet Hung 20173938</dc:creator>
  <cp:lastModifiedBy>Tran Viet Hung 20173938</cp:lastModifiedBy>
  <dcterms:created xsi:type="dcterms:W3CDTF">2024-11-15T04:42:05Z</dcterms:created>
  <dcterms:modified xsi:type="dcterms:W3CDTF">2024-11-16T03:18:25Z</dcterms:modified>
</cp:coreProperties>
</file>